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by Month" sheetId="2" state="visible" r:id="rId2"/>
    <sheet xmlns:r="http://schemas.openxmlformats.org/officeDocument/2006/relationships" name="Expenses by Month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KPI Scorec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;[Red]-&quot;$&quot;#,##0;&quot;-&quot;"/>
    <numFmt numFmtId="165" formatCode="#,##0;[Red]-#,##0;&quot;-&quot;"/>
  </numFmts>
  <fonts count="9">
    <font>
      <name val="Calibri"/>
      <family val="2"/>
      <color theme="1"/>
      <sz val="11"/>
      <scheme val="minor"/>
    </font>
    <font>
      <name val="Calibri"/>
      <b val="1"/>
      <color rgb="001F3A4D"/>
      <sz val="18"/>
    </font>
    <font>
      <name val="Calibri"/>
      <i val="1"/>
      <color rgb="001F3A4D"/>
      <sz val="12"/>
    </font>
    <font>
      <name val="Calibri"/>
      <b val="1"/>
      <color rgb="00FFFFFF"/>
      <sz val="12"/>
    </font>
    <font>
      <name val="Calibri"/>
      <b val="1"/>
      <color rgb="001F3A4D"/>
      <sz val="11"/>
    </font>
    <font>
      <name val="Calibri"/>
      <sz val="11"/>
    </font>
    <font>
      <name val="Calibri"/>
      <b val="1"/>
      <color rgb="00FFFFFF"/>
      <sz val="11"/>
    </font>
    <font>
      <i val="1"/>
      <color rgb="001F3A4D"/>
    </font>
    <font>
      <i val="1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AF1F7"/>
      </patternFill>
    </fill>
    <fill>
      <patternFill patternType="solid">
        <fgColor rgb="002E75B6"/>
      </patternFill>
    </fill>
    <fill>
      <patternFill patternType="solid">
        <fgColor rgb="00F6F9FC"/>
      </patternFill>
    </fill>
  </fills>
  <borders count="2">
    <border>
      <left/>
      <right/>
      <top/>
      <bottom/>
      <diagonal/>
    </border>
    <border>
      <left style="thin">
        <color rgb="00C7D2DC"/>
      </left>
      <right style="thin">
        <color rgb="00C7D2DC"/>
      </right>
      <top style="thin">
        <color rgb="00C7D2DC"/>
      </top>
      <bottom style="thin">
        <color rgb="00C7D2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7" fillId="0" borderId="0" pivotButton="0" quotePrefix="0" xfId="0"/>
    <xf numFmtId="165" fontId="5" fillId="0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8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LIVING WATER NETWORK INC.</t>
        </is>
      </c>
    </row>
    <row r="2">
      <c r="A2" s="2" t="inlineStr">
        <is>
          <t>Year One Budget Summary (Apr 2026 - Mar 2027)</t>
        </is>
      </c>
    </row>
    <row r="4">
      <c r="A4" s="3" t="inlineStr">
        <is>
          <t>Category</t>
        </is>
      </c>
      <c r="B4" s="3" t="inlineStr">
        <is>
          <t>Budget Low</t>
        </is>
      </c>
      <c r="C4" s="3" t="inlineStr">
        <is>
          <t>Budget Target</t>
        </is>
      </c>
      <c r="D4" s="3" t="inlineStr">
        <is>
          <t>Budget Stretch</t>
        </is>
      </c>
    </row>
    <row r="5">
      <c r="A5" s="4" t="inlineStr">
        <is>
          <t>REVENUE</t>
        </is>
      </c>
      <c r="B5" s="5" t="n"/>
      <c r="C5" s="5" t="n"/>
      <c r="D5" s="5" t="n"/>
    </row>
    <row r="6">
      <c r="A6" s="6" t="inlineStr">
        <is>
          <t>Gala: Monthly Donor Commitments (annualized)</t>
        </is>
      </c>
      <c r="B6" s="7" t="n">
        <v>60000</v>
      </c>
      <c r="C6" s="7" t="n">
        <v>120000</v>
      </c>
      <c r="D6" s="7" t="n">
        <v>180000</v>
      </c>
    </row>
    <row r="7">
      <c r="A7" s="6" t="inlineStr">
        <is>
          <t>Gala: One-Time Gifts (in-room)</t>
        </is>
      </c>
      <c r="B7" s="7" t="n">
        <v>5000</v>
      </c>
      <c r="C7" s="7" t="n">
        <v>10000</v>
      </c>
      <c r="D7" s="7" t="n">
        <v>20000</v>
      </c>
    </row>
    <row r="8">
      <c r="A8" s="6" t="inlineStr">
        <is>
          <t>Sponsorships: Title</t>
        </is>
      </c>
      <c r="B8" s="7" t="n">
        <v>15000</v>
      </c>
      <c r="C8" s="7" t="n">
        <v>25000</v>
      </c>
      <c r="D8" s="7" t="n">
        <v>30000</v>
      </c>
    </row>
    <row r="9">
      <c r="A9" s="6" t="inlineStr">
        <is>
          <t>Sponsorships: Presenting</t>
        </is>
      </c>
      <c r="B9" s="7" t="n">
        <v>0</v>
      </c>
      <c r="C9" s="7" t="n">
        <v>10000</v>
      </c>
      <c r="D9" s="7" t="n">
        <v>20000</v>
      </c>
    </row>
    <row r="10">
      <c r="A10" s="6" t="inlineStr">
        <is>
          <t>Sponsorships: Table</t>
        </is>
      </c>
      <c r="B10" s="7" t="n">
        <v>5000</v>
      </c>
      <c r="C10" s="7" t="n">
        <v>15000</v>
      </c>
      <c r="D10" s="7" t="n">
        <v>30000</v>
      </c>
    </row>
    <row r="11">
      <c r="A11" s="6" t="inlineStr">
        <is>
          <t>Sponsorships: Impact</t>
        </is>
      </c>
      <c r="B11" s="7" t="n">
        <v>1000</v>
      </c>
      <c r="C11" s="7" t="n">
        <v>4000</v>
      </c>
      <c r="D11" s="7" t="n">
        <v>8000</v>
      </c>
    </row>
    <row r="12">
      <c r="A12" s="6" t="inlineStr">
        <is>
          <t>Major Gifts (outside gala)</t>
        </is>
      </c>
      <c r="B12" s="7" t="n">
        <v>5000</v>
      </c>
      <c r="C12" s="7" t="n">
        <v>15000</v>
      </c>
      <c r="D12" s="7" t="n">
        <v>35000</v>
      </c>
    </row>
    <row r="13">
      <c r="A13" s="6" t="inlineStr">
        <is>
          <t>Cohort Tuition (earned)</t>
        </is>
      </c>
      <c r="B13" s="7" t="n">
        <v>3000</v>
      </c>
      <c r="C13" s="7" t="n">
        <v>10000</v>
      </c>
      <c r="D13" s="7" t="n">
        <v>25000</v>
      </c>
    </row>
    <row r="14">
      <c r="A14" s="6" t="inlineStr">
        <is>
          <t>Speaking / Leadership Intensives</t>
        </is>
      </c>
      <c r="B14" s="7" t="n">
        <v>1000</v>
      </c>
      <c r="C14" s="7" t="n">
        <v>3000</v>
      </c>
      <c r="D14" s="7" t="n">
        <v>8000</v>
      </c>
    </row>
    <row r="15">
      <c r="A15" s="6" t="inlineStr">
        <is>
          <t>Church Partnership Fees</t>
        </is>
      </c>
      <c r="B15" s="7" t="n">
        <v>0</v>
      </c>
      <c r="C15" s="7" t="n">
        <v>2000</v>
      </c>
      <c r="D15" s="7" t="n">
        <v>6000</v>
      </c>
    </row>
    <row r="16">
      <c r="A16" s="6" t="inlineStr">
        <is>
          <t>Grants (opportunistic)</t>
        </is>
      </c>
      <c r="B16" s="7" t="n">
        <v>0</v>
      </c>
      <c r="C16" s="7" t="n">
        <v>0</v>
      </c>
      <c r="D16" s="7" t="n">
        <v>15000</v>
      </c>
    </row>
    <row r="17">
      <c r="A17" s="4" t="inlineStr">
        <is>
          <t>TOTAL REVENUE</t>
        </is>
      </c>
      <c r="B17" s="8">
        <f>SUM(B6:B16)</f>
        <v/>
      </c>
      <c r="C17" s="8">
        <f>SUM(C6:C16)</f>
        <v/>
      </c>
      <c r="D17" s="8">
        <f>SUM(D6:D16)</f>
        <v/>
      </c>
    </row>
    <row r="18">
      <c r="A18" t="inlineStr"/>
    </row>
    <row r="19">
      <c r="A19" s="4" t="inlineStr">
        <is>
          <t>EXPENSES</t>
        </is>
      </c>
      <c r="B19" s="5" t="n"/>
      <c r="C19" s="5" t="n"/>
      <c r="D19" s="5" t="n"/>
    </row>
    <row r="20">
      <c r="A20" s="6" t="inlineStr">
        <is>
          <t>Gala Production (underwritten by title sponsor if secured)</t>
        </is>
      </c>
      <c r="B20" s="7" t="n">
        <v>20000</v>
      </c>
      <c r="C20" s="7" t="n">
        <v>25000</v>
      </c>
      <c r="D20" s="7" t="n">
        <v>30000</v>
      </c>
    </row>
    <row r="21">
      <c r="A21" s="6" t="inlineStr">
        <is>
          <t>Programs: Cohort Delivery (facilitators, materials, space)</t>
        </is>
      </c>
      <c r="B21" s="7" t="n">
        <v>5000</v>
      </c>
      <c r="C21" s="7" t="n">
        <v>10000</v>
      </c>
      <c r="D21" s="7" t="n">
        <v>18000</v>
      </c>
    </row>
    <row r="22">
      <c r="A22" s="6" t="inlineStr">
        <is>
          <t>Missions: Ecuador Trip (pre-funded by participants + sponsors)</t>
        </is>
      </c>
      <c r="B22" s="7" t="n">
        <v>8000</v>
      </c>
      <c r="C22" s="7" t="n">
        <v>15000</v>
      </c>
      <c r="D22" s="7" t="n">
        <v>25000</v>
      </c>
    </row>
    <row r="23">
      <c r="A23" s="6" t="inlineStr">
        <is>
          <t>Personnel / Contractors (Ops, Dev, Programs)</t>
        </is>
      </c>
      <c r="B23" s="7" t="n">
        <v>20000</v>
      </c>
      <c r="C23" s="7" t="n">
        <v>40000</v>
      </c>
      <c r="D23" s="7" t="n">
        <v>70000</v>
      </c>
    </row>
    <row r="24">
      <c r="A24" s="6" t="inlineStr">
        <is>
          <t>Marketing / Brand (design, video, photography)</t>
        </is>
      </c>
      <c r="B24" s="7" t="n">
        <v>5000</v>
      </c>
      <c r="C24" s="7" t="n">
        <v>10000</v>
      </c>
      <c r="D24" s="7" t="n">
        <v>18000</v>
      </c>
    </row>
    <row r="25">
      <c r="A25" s="6" t="inlineStr">
        <is>
          <t>Website, CRM, Email, Software Stack</t>
        </is>
      </c>
      <c r="B25" s="7" t="n">
        <v>3000</v>
      </c>
      <c r="C25" s="7" t="n">
        <v>6000</v>
      </c>
      <c r="D25" s="7" t="n">
        <v>10000</v>
      </c>
    </row>
    <row r="26">
      <c r="A26" s="6" t="inlineStr">
        <is>
          <t>Legal, Accounting, Insurance, Compliance</t>
        </is>
      </c>
      <c r="B26" s="7" t="n">
        <v>3000</v>
      </c>
      <c r="C26" s="7" t="n">
        <v>6000</v>
      </c>
      <c r="D26" s="7" t="n">
        <v>10000</v>
      </c>
    </row>
    <row r="27">
      <c r="A27" s="6" t="inlineStr">
        <is>
          <t>Travel, Meals, Donor Cultivation</t>
        </is>
      </c>
      <c r="B27" s="7" t="n">
        <v>2000</v>
      </c>
      <c r="C27" s="7" t="n">
        <v>5000</v>
      </c>
      <c r="D27" s="7" t="n">
        <v>10000</v>
      </c>
    </row>
    <row r="28">
      <c r="A28" s="6" t="inlineStr">
        <is>
          <t>Office / Admin / Banking Fees / Processing</t>
        </is>
      </c>
      <c r="B28" s="7" t="n">
        <v>1500</v>
      </c>
      <c r="C28" s="7" t="n">
        <v>3000</v>
      </c>
      <c r="D28" s="7" t="n">
        <v>6000</v>
      </c>
    </row>
    <row r="29">
      <c r="A29" s="6" t="inlineStr">
        <is>
          <t>Board + Staff Development</t>
        </is>
      </c>
      <c r="B29" s="7" t="n">
        <v>500</v>
      </c>
      <c r="C29" s="7" t="n">
        <v>2000</v>
      </c>
      <c r="D29" s="7" t="n">
        <v>5000</v>
      </c>
    </row>
    <row r="30">
      <c r="A30" s="6" t="inlineStr">
        <is>
          <t>Contingency Reserve (10%)</t>
        </is>
      </c>
      <c r="B30" s="7" t="n">
        <v>3000</v>
      </c>
      <c r="C30" s="7" t="n">
        <v>7000</v>
      </c>
      <c r="D30" s="7" t="n">
        <v>15000</v>
      </c>
    </row>
    <row r="31">
      <c r="A31" s="4" t="inlineStr">
        <is>
          <t>TOTAL EXPENSES</t>
        </is>
      </c>
      <c r="B31" s="8">
        <f>SUM(B20:B30)</f>
        <v/>
      </c>
      <c r="C31" s="8">
        <f>SUM(C20:C30)</f>
        <v/>
      </c>
      <c r="D31" s="8">
        <f>SUM(D20:D30)</f>
        <v/>
      </c>
    </row>
    <row r="33">
      <c r="A33" s="9" t="inlineStr">
        <is>
          <t>NET SURPLUS / (DEFICIT)</t>
        </is>
      </c>
      <c r="B33" s="10">
        <f>B17-B31</f>
        <v/>
      </c>
      <c r="C33" s="10">
        <f>C17-C31</f>
        <v/>
      </c>
      <c r="D33" s="10">
        <f>D17-D31</f>
        <v/>
      </c>
    </row>
    <row r="36">
      <c r="A36" s="11" t="inlineStr">
        <is>
          <t>Notes</t>
        </is>
      </c>
    </row>
    <row r="37" ht="30" customHeight="1">
      <c r="A37" s="12" t="inlineStr">
        <is>
          <t>Low = conservative quiet-phase outcome. Target = stated Year One plan ($100K-$180K band). Stretch = upside with full sponsor + cohort performance.</t>
        </is>
      </c>
    </row>
    <row r="38" ht="30" customHeight="1">
      <c r="A38" s="12" t="inlineStr">
        <is>
          <t>Gala production is shown as gross cost; if title sponsor underwrites, it becomes a pass-through and revenue/expense net to zero for that line.</t>
        </is>
      </c>
    </row>
    <row r="39" ht="30" customHeight="1">
      <c r="A39" s="12" t="inlineStr">
        <is>
          <t>Missions trip expense is participant-funded; cost shown for transparency but should break even.</t>
        </is>
      </c>
    </row>
    <row r="40">
      <c r="A40" t="inlineStr">
        <is>
          <t>All figures in USD. Edit directly; totals recalculate.</t>
        </is>
      </c>
    </row>
  </sheetData>
  <mergeCells count="5">
    <mergeCell ref="A1:D1"/>
    <mergeCell ref="A37:D37"/>
    <mergeCell ref="A38:D38"/>
    <mergeCell ref="A39:D3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>
        <is>
          <t>Revenue Plan by Month (Target Scenario)</t>
        </is>
      </c>
    </row>
    <row r="3">
      <c r="A3" s="3" t="inlineStr">
        <is>
          <t>Revenue Stream</t>
        </is>
      </c>
      <c r="B3" s="3" t="inlineStr">
        <is>
          <t>Apr-26</t>
        </is>
      </c>
      <c r="C3" s="3" t="inlineStr">
        <is>
          <t>May-26</t>
        </is>
      </c>
      <c r="D3" s="3" t="inlineStr">
        <is>
          <t>Jun-26</t>
        </is>
      </c>
      <c r="E3" s="3" t="inlineStr">
        <is>
          <t>Jul-26</t>
        </is>
      </c>
      <c r="F3" s="3" t="inlineStr">
        <is>
          <t>Aug-26</t>
        </is>
      </c>
      <c r="G3" s="3" t="inlineStr">
        <is>
          <t>Sep-26</t>
        </is>
      </c>
      <c r="H3" s="3" t="inlineStr">
        <is>
          <t>Oct-26</t>
        </is>
      </c>
      <c r="I3" s="3" t="inlineStr">
        <is>
          <t>Nov-26</t>
        </is>
      </c>
      <c r="J3" s="3" t="inlineStr">
        <is>
          <t>Dec-26</t>
        </is>
      </c>
      <c r="K3" s="3" t="inlineStr">
        <is>
          <t>Jan-27</t>
        </is>
      </c>
      <c r="L3" s="3" t="inlineStr">
        <is>
          <t>Feb-27</t>
        </is>
      </c>
      <c r="M3" s="3" t="inlineStr">
        <is>
          <t>Mar-27</t>
        </is>
      </c>
      <c r="N3" s="3" t="inlineStr">
        <is>
          <t>Total</t>
        </is>
      </c>
    </row>
    <row r="4">
      <c r="A4" s="13" t="inlineStr">
        <is>
          <t>Monthly Donor Revenue (cumulative)</t>
        </is>
      </c>
      <c r="B4" s="14" t="n">
        <v>0</v>
      </c>
      <c r="C4" s="14" t="n">
        <v>0</v>
      </c>
      <c r="D4" s="14" t="n">
        <v>1000</v>
      </c>
      <c r="E4" s="14" t="n">
        <v>1500</v>
      </c>
      <c r="F4" s="14" t="n">
        <v>2500</v>
      </c>
      <c r="G4" s="14" t="n">
        <v>4000</v>
      </c>
      <c r="H4" s="14" t="n">
        <v>6000</v>
      </c>
      <c r="I4" s="14" t="n">
        <v>10000</v>
      </c>
      <c r="J4" s="14" t="n">
        <v>12000</v>
      </c>
      <c r="K4" s="14" t="n">
        <v>13000</v>
      </c>
      <c r="L4" s="14" t="n">
        <v>14000</v>
      </c>
      <c r="M4" s="14" t="n">
        <v>15000</v>
      </c>
      <c r="N4" s="15">
        <f>SUM(B4:M4)</f>
        <v/>
      </c>
    </row>
    <row r="5">
      <c r="A5" s="6" t="inlineStr">
        <is>
          <t>One-Time Gifts / Year-End</t>
        </is>
      </c>
      <c r="B5" s="7" t="n">
        <v>0</v>
      </c>
      <c r="C5" s="7" t="n">
        <v>500</v>
      </c>
      <c r="D5" s="7" t="n">
        <v>500</v>
      </c>
      <c r="E5" s="7" t="n">
        <v>1000</v>
      </c>
      <c r="F5" s="7" t="n">
        <v>1000</v>
      </c>
      <c r="G5" s="7" t="n">
        <v>2000</v>
      </c>
      <c r="H5" s="7" t="n">
        <v>3000</v>
      </c>
      <c r="I5" s="7" t="n">
        <v>15000</v>
      </c>
      <c r="J5" s="7" t="n">
        <v>5000</v>
      </c>
      <c r="K5" s="7" t="n">
        <v>2000</v>
      </c>
      <c r="L5" s="7" t="n">
        <v>1000</v>
      </c>
      <c r="M5" s="7" t="n">
        <v>1000</v>
      </c>
      <c r="N5" s="16">
        <f>SUM(B5:M5)</f>
        <v/>
      </c>
    </row>
    <row r="6">
      <c r="A6" s="13" t="inlineStr">
        <is>
          <t>Sponsorship Payments</t>
        </is>
      </c>
      <c r="B6" s="14" t="n">
        <v>0</v>
      </c>
      <c r="C6" s="14" t="n">
        <v>0</v>
      </c>
      <c r="D6" s="14" t="n">
        <v>0</v>
      </c>
      <c r="E6" s="14" t="n">
        <v>5000</v>
      </c>
      <c r="F6" s="14" t="n">
        <v>10000</v>
      </c>
      <c r="G6" s="14" t="n">
        <v>15000</v>
      </c>
      <c r="H6" s="14" t="n">
        <v>15000</v>
      </c>
      <c r="I6" s="14" t="n">
        <v>10000</v>
      </c>
      <c r="J6" s="14" t="n">
        <v>0</v>
      </c>
      <c r="K6" s="14" t="n">
        <v>0</v>
      </c>
      <c r="L6" s="14" t="n">
        <v>0</v>
      </c>
      <c r="M6" s="14" t="n">
        <v>0</v>
      </c>
      <c r="N6" s="15">
        <f>SUM(B6:M6)</f>
        <v/>
      </c>
    </row>
    <row r="7">
      <c r="A7" s="6" t="inlineStr">
        <is>
          <t>Cohort Tuition</t>
        </is>
      </c>
      <c r="B7" s="7" t="n">
        <v>0</v>
      </c>
      <c r="C7" s="7" t="n">
        <v>0</v>
      </c>
      <c r="D7" s="7" t="n">
        <v>4000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4000</v>
      </c>
      <c r="L7" s="7" t="n">
        <v>0</v>
      </c>
      <c r="M7" s="7" t="n">
        <v>2000</v>
      </c>
      <c r="N7" s="16">
        <f>SUM(B7:M7)</f>
        <v/>
      </c>
    </row>
    <row r="8">
      <c r="A8" s="13" t="inlineStr">
        <is>
          <t>Major Gifts</t>
        </is>
      </c>
      <c r="B8" s="14" t="n">
        <v>0</v>
      </c>
      <c r="C8" s="14" t="n">
        <v>2000</v>
      </c>
      <c r="D8" s="14" t="n">
        <v>2000</v>
      </c>
      <c r="E8" s="14" t="n">
        <v>3000</v>
      </c>
      <c r="F8" s="14" t="n">
        <v>3000</v>
      </c>
      <c r="G8" s="14" t="n">
        <v>2000</v>
      </c>
      <c r="H8" s="14" t="n">
        <v>2000</v>
      </c>
      <c r="I8" s="14" t="n">
        <v>2000</v>
      </c>
      <c r="J8" s="14" t="n">
        <v>2000</v>
      </c>
      <c r="K8" s="14" t="n">
        <v>1000</v>
      </c>
      <c r="L8" s="14" t="n">
        <v>1000</v>
      </c>
      <c r="M8" s="14" t="n">
        <v>1000</v>
      </c>
      <c r="N8" s="15">
        <f>SUM(B8:M8)</f>
        <v/>
      </c>
    </row>
    <row r="9">
      <c r="A9" s="6" t="inlineStr">
        <is>
          <t>Speaking / Intensives</t>
        </is>
      </c>
      <c r="B9" s="7" t="n">
        <v>0</v>
      </c>
      <c r="C9" s="7" t="n">
        <v>0</v>
      </c>
      <c r="D9" s="7" t="n">
        <v>500</v>
      </c>
      <c r="E9" s="7" t="n">
        <v>500</v>
      </c>
      <c r="F9" s="7" t="n">
        <v>0</v>
      </c>
      <c r="G9" s="7" t="n">
        <v>500</v>
      </c>
      <c r="H9" s="7" t="n">
        <v>0</v>
      </c>
      <c r="I9" s="7" t="n">
        <v>500</v>
      </c>
      <c r="J9" s="7" t="n">
        <v>500</v>
      </c>
      <c r="K9" s="7" t="n">
        <v>500</v>
      </c>
      <c r="L9" s="7" t="n">
        <v>500</v>
      </c>
      <c r="M9" s="7" t="n">
        <v>500</v>
      </c>
      <c r="N9" s="16">
        <f>SUM(B9:M9)</f>
        <v/>
      </c>
    </row>
    <row r="10">
      <c r="A10" s="13" t="inlineStr">
        <is>
          <t>Church Partnership Fees</t>
        </is>
      </c>
      <c r="B10" s="14" t="n">
        <v>0</v>
      </c>
      <c r="C10" s="14" t="n">
        <v>0</v>
      </c>
      <c r="D10" s="14" t="n">
        <v>0</v>
      </c>
      <c r="E10" s="14" t="n">
        <v>500</v>
      </c>
      <c r="F10" s="14" t="n">
        <v>500</v>
      </c>
      <c r="G10" s="14" t="n">
        <v>500</v>
      </c>
      <c r="H10" s="14" t="n">
        <v>0</v>
      </c>
      <c r="I10" s="14" t="n">
        <v>0</v>
      </c>
      <c r="J10" s="14" t="n">
        <v>0</v>
      </c>
      <c r="K10" s="14" t="n">
        <v>500</v>
      </c>
      <c r="L10" s="14" t="n">
        <v>0</v>
      </c>
      <c r="M10" s="14" t="n">
        <v>0</v>
      </c>
      <c r="N10" s="15">
        <f>SUM(B10:M10)</f>
        <v/>
      </c>
    </row>
    <row r="11">
      <c r="A11" s="9" t="inlineStr">
        <is>
          <t>MONTHLY TOTAL</t>
        </is>
      </c>
      <c r="B11" s="10">
        <f>SUM(B4:B10)</f>
        <v/>
      </c>
      <c r="C11" s="10">
        <f>SUM(C4:C10)</f>
        <v/>
      </c>
      <c r="D11" s="10">
        <f>SUM(D4:D10)</f>
        <v/>
      </c>
      <c r="E11" s="10">
        <f>SUM(E4:E10)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SUM(B11:M11)</f>
        <v/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>
        <is>
          <t>Expense Plan by Month (Target Scenario)</t>
        </is>
      </c>
    </row>
    <row r="3">
      <c r="A3" s="3" t="inlineStr">
        <is>
          <t>Revenue Stream</t>
        </is>
      </c>
      <c r="B3" s="3" t="inlineStr">
        <is>
          <t>Apr-26</t>
        </is>
      </c>
      <c r="C3" s="3" t="inlineStr">
        <is>
          <t>May-26</t>
        </is>
      </c>
      <c r="D3" s="3" t="inlineStr">
        <is>
          <t>Jun-26</t>
        </is>
      </c>
      <c r="E3" s="3" t="inlineStr">
        <is>
          <t>Jul-26</t>
        </is>
      </c>
      <c r="F3" s="3" t="inlineStr">
        <is>
          <t>Aug-26</t>
        </is>
      </c>
      <c r="G3" s="3" t="inlineStr">
        <is>
          <t>Sep-26</t>
        </is>
      </c>
      <c r="H3" s="3" t="inlineStr">
        <is>
          <t>Oct-26</t>
        </is>
      </c>
      <c r="I3" s="3" t="inlineStr">
        <is>
          <t>Nov-26</t>
        </is>
      </c>
      <c r="J3" s="3" t="inlineStr">
        <is>
          <t>Dec-26</t>
        </is>
      </c>
      <c r="K3" s="3" t="inlineStr">
        <is>
          <t>Jan-27</t>
        </is>
      </c>
      <c r="L3" s="3" t="inlineStr">
        <is>
          <t>Feb-27</t>
        </is>
      </c>
      <c r="M3" s="3" t="inlineStr">
        <is>
          <t>Mar-27</t>
        </is>
      </c>
      <c r="N3" s="3" t="inlineStr">
        <is>
          <t>Total</t>
        </is>
      </c>
    </row>
    <row r="4">
      <c r="A4" s="13" t="inlineStr">
        <is>
          <t>Gala Production</t>
        </is>
      </c>
      <c r="B4" s="14" t="n">
        <v>0</v>
      </c>
      <c r="C4" s="14" t="n">
        <v>0</v>
      </c>
      <c r="D4" s="14" t="n">
        <v>500</v>
      </c>
      <c r="E4" s="14" t="n">
        <v>1500</v>
      </c>
      <c r="F4" s="14" t="n">
        <v>3000</v>
      </c>
      <c r="G4" s="14" t="n">
        <v>5000</v>
      </c>
      <c r="H4" s="14" t="n">
        <v>7000</v>
      </c>
      <c r="I4" s="14" t="n">
        <v>8000</v>
      </c>
      <c r="J4" s="14" t="n">
        <v>0</v>
      </c>
      <c r="K4" s="14" t="n">
        <v>0</v>
      </c>
      <c r="L4" s="14" t="n">
        <v>0</v>
      </c>
      <c r="M4" s="14" t="n">
        <v>0</v>
      </c>
      <c r="N4" s="15">
        <f>SUM(B4:M4)</f>
        <v/>
      </c>
    </row>
    <row r="5">
      <c r="A5" s="6" t="inlineStr">
        <is>
          <t>Programs: Cohort Delivery</t>
        </is>
      </c>
      <c r="B5" s="7" t="n">
        <v>500</v>
      </c>
      <c r="C5" s="7" t="n">
        <v>500</v>
      </c>
      <c r="D5" s="7" t="n">
        <v>1500</v>
      </c>
      <c r="E5" s="7" t="n">
        <v>1000</v>
      </c>
      <c r="F5" s="7" t="n">
        <v>1000</v>
      </c>
      <c r="G5" s="7" t="n">
        <v>1000</v>
      </c>
      <c r="H5" s="7" t="n">
        <v>500</v>
      </c>
      <c r="I5" s="7" t="n">
        <v>500</v>
      </c>
      <c r="J5" s="7" t="n">
        <v>500</v>
      </c>
      <c r="K5" s="7" t="n">
        <v>1500</v>
      </c>
      <c r="L5" s="7" t="n">
        <v>500</v>
      </c>
      <c r="M5" s="7" t="n">
        <v>1000</v>
      </c>
      <c r="N5" s="16">
        <f>SUM(B5:M5)</f>
        <v/>
      </c>
    </row>
    <row r="6">
      <c r="A6" s="13" t="inlineStr">
        <is>
          <t>Missions: Ecuador Trip</t>
        </is>
      </c>
      <c r="B6" s="14" t="n">
        <v>0</v>
      </c>
      <c r="C6" s="14" t="n">
        <v>0</v>
      </c>
      <c r="D6" s="14" t="n">
        <v>500</v>
      </c>
      <c r="E6" s="14" t="n">
        <v>500</v>
      </c>
      <c r="F6" s="14" t="n">
        <v>1000</v>
      </c>
      <c r="G6" s="14" t="n">
        <v>1500</v>
      </c>
      <c r="H6" s="14" t="n">
        <v>2000</v>
      </c>
      <c r="I6" s="14" t="n">
        <v>2500</v>
      </c>
      <c r="J6" s="14" t="n">
        <v>1500</v>
      </c>
      <c r="K6" s="14" t="n">
        <v>2500</v>
      </c>
      <c r="L6" s="14" t="n">
        <v>2500</v>
      </c>
      <c r="M6" s="14" t="n">
        <v>500</v>
      </c>
      <c r="N6" s="15">
        <f>SUM(B6:M6)</f>
        <v/>
      </c>
    </row>
    <row r="7">
      <c r="A7" s="6" t="inlineStr">
        <is>
          <t>Personnel / Contractors</t>
        </is>
      </c>
      <c r="B7" s="7" t="n">
        <v>2500</v>
      </c>
      <c r="C7" s="7" t="n">
        <v>3000</v>
      </c>
      <c r="D7" s="7" t="n">
        <v>3500</v>
      </c>
      <c r="E7" s="7" t="n">
        <v>3500</v>
      </c>
      <c r="F7" s="7" t="n">
        <v>3500</v>
      </c>
      <c r="G7" s="7" t="n">
        <v>4000</v>
      </c>
      <c r="H7" s="7" t="n">
        <v>4000</v>
      </c>
      <c r="I7" s="7" t="n">
        <v>4000</v>
      </c>
      <c r="J7" s="7" t="n">
        <v>3500</v>
      </c>
      <c r="K7" s="7" t="n">
        <v>3000</v>
      </c>
      <c r="L7" s="7" t="n">
        <v>3000</v>
      </c>
      <c r="M7" s="7" t="n">
        <v>2500</v>
      </c>
      <c r="N7" s="16">
        <f>SUM(B7:M7)</f>
        <v/>
      </c>
    </row>
    <row r="8">
      <c r="A8" s="13" t="inlineStr">
        <is>
          <t>Marketing / Brand</t>
        </is>
      </c>
      <c r="B8" s="14" t="n">
        <v>500</v>
      </c>
      <c r="C8" s="14" t="n">
        <v>750</v>
      </c>
      <c r="D8" s="14" t="n">
        <v>1000</v>
      </c>
      <c r="E8" s="14" t="n">
        <v>1000</v>
      </c>
      <c r="F8" s="14" t="n">
        <v>1000</v>
      </c>
      <c r="G8" s="14" t="n">
        <v>1500</v>
      </c>
      <c r="H8" s="14" t="n">
        <v>1500</v>
      </c>
      <c r="I8" s="14" t="n">
        <v>1500</v>
      </c>
      <c r="J8" s="14" t="n">
        <v>500</v>
      </c>
      <c r="K8" s="14" t="n">
        <v>250</v>
      </c>
      <c r="L8" s="14" t="n">
        <v>250</v>
      </c>
      <c r="M8" s="14" t="n">
        <v>250</v>
      </c>
      <c r="N8" s="15">
        <f>SUM(B8:M8)</f>
        <v/>
      </c>
    </row>
    <row r="9">
      <c r="A9" s="6" t="inlineStr">
        <is>
          <t>Software / CRM / Email</t>
        </is>
      </c>
      <c r="B9" s="7" t="n">
        <v>500</v>
      </c>
      <c r="C9" s="7" t="n">
        <v>500</v>
      </c>
      <c r="D9" s="7" t="n">
        <v>500</v>
      </c>
      <c r="E9" s="7" t="n">
        <v>500</v>
      </c>
      <c r="F9" s="7" t="n">
        <v>500</v>
      </c>
      <c r="G9" s="7" t="n">
        <v>500</v>
      </c>
      <c r="H9" s="7" t="n">
        <v>500</v>
      </c>
      <c r="I9" s="7" t="n">
        <v>500</v>
      </c>
      <c r="J9" s="7" t="n">
        <v>500</v>
      </c>
      <c r="K9" s="7" t="n">
        <v>500</v>
      </c>
      <c r="L9" s="7" t="n">
        <v>500</v>
      </c>
      <c r="M9" s="7" t="n">
        <v>500</v>
      </c>
      <c r="N9" s="16">
        <f>SUM(B9:M9)</f>
        <v/>
      </c>
    </row>
    <row r="10">
      <c r="A10" s="13" t="inlineStr">
        <is>
          <t>Legal / Accounting / Insurance</t>
        </is>
      </c>
      <c r="B10" s="14" t="n">
        <v>500</v>
      </c>
      <c r="C10" s="14" t="n">
        <v>500</v>
      </c>
      <c r="D10" s="14" t="n">
        <v>500</v>
      </c>
      <c r="E10" s="14" t="n">
        <v>500</v>
      </c>
      <c r="F10" s="14" t="n">
        <v>500</v>
      </c>
      <c r="G10" s="14" t="n">
        <v>500</v>
      </c>
      <c r="H10" s="14" t="n">
        <v>500</v>
      </c>
      <c r="I10" s="14" t="n">
        <v>500</v>
      </c>
      <c r="J10" s="14" t="n">
        <v>500</v>
      </c>
      <c r="K10" s="14" t="n">
        <v>500</v>
      </c>
      <c r="L10" s="14" t="n">
        <v>500</v>
      </c>
      <c r="M10" s="14" t="n">
        <v>500</v>
      </c>
      <c r="N10" s="15">
        <f>SUM(B10:M10)</f>
        <v/>
      </c>
    </row>
    <row r="11">
      <c r="A11" s="6" t="inlineStr">
        <is>
          <t>Travel / Cultivation</t>
        </is>
      </c>
      <c r="B11" s="7" t="n">
        <v>250</v>
      </c>
      <c r="C11" s="7" t="n">
        <v>500</v>
      </c>
      <c r="D11" s="7" t="n">
        <v>500</v>
      </c>
      <c r="E11" s="7" t="n">
        <v>500</v>
      </c>
      <c r="F11" s="7" t="n">
        <v>500</v>
      </c>
      <c r="G11" s="7" t="n">
        <v>500</v>
      </c>
      <c r="H11" s="7" t="n">
        <v>750</v>
      </c>
      <c r="I11" s="7" t="n">
        <v>500</v>
      </c>
      <c r="J11" s="7" t="n">
        <v>250</v>
      </c>
      <c r="K11" s="7" t="n">
        <v>250</v>
      </c>
      <c r="L11" s="7" t="n">
        <v>250</v>
      </c>
      <c r="M11" s="7" t="n">
        <v>250</v>
      </c>
      <c r="N11" s="16">
        <f>SUM(B11:M11)</f>
        <v/>
      </c>
    </row>
    <row r="12">
      <c r="A12" s="13" t="inlineStr">
        <is>
          <t>Office / Admin / Fees</t>
        </is>
      </c>
      <c r="B12" s="14" t="n">
        <v>250</v>
      </c>
      <c r="C12" s="14" t="n">
        <v>250</v>
      </c>
      <c r="D12" s="14" t="n">
        <v>250</v>
      </c>
      <c r="E12" s="14" t="n">
        <v>250</v>
      </c>
      <c r="F12" s="14" t="n">
        <v>250</v>
      </c>
      <c r="G12" s="14" t="n">
        <v>250</v>
      </c>
      <c r="H12" s="14" t="n">
        <v>250</v>
      </c>
      <c r="I12" s="14" t="n">
        <v>250</v>
      </c>
      <c r="J12" s="14" t="n">
        <v>250</v>
      </c>
      <c r="K12" s="14" t="n">
        <v>250</v>
      </c>
      <c r="L12" s="14" t="n">
        <v>250</v>
      </c>
      <c r="M12" s="14" t="n">
        <v>250</v>
      </c>
      <c r="N12" s="15">
        <f>SUM(B12:M12)</f>
        <v/>
      </c>
    </row>
    <row r="13">
      <c r="A13" s="6" t="inlineStr">
        <is>
          <t>Board / Staff Development</t>
        </is>
      </c>
      <c r="B13" s="7" t="n">
        <v>100</v>
      </c>
      <c r="C13" s="7" t="n">
        <v>100</v>
      </c>
      <c r="D13" s="7" t="n">
        <v>200</v>
      </c>
      <c r="E13" s="7" t="n">
        <v>200</v>
      </c>
      <c r="F13" s="7" t="n">
        <v>200</v>
      </c>
      <c r="G13" s="7" t="n">
        <v>200</v>
      </c>
      <c r="H13" s="7" t="n">
        <v>200</v>
      </c>
      <c r="I13" s="7" t="n">
        <v>200</v>
      </c>
      <c r="J13" s="7" t="n">
        <v>200</v>
      </c>
      <c r="K13" s="7" t="n">
        <v>100</v>
      </c>
      <c r="L13" s="7" t="n">
        <v>100</v>
      </c>
      <c r="M13" s="7" t="n">
        <v>200</v>
      </c>
      <c r="N13" s="16">
        <f>SUM(B13:M13)</f>
        <v/>
      </c>
    </row>
    <row r="14">
      <c r="A14" s="13" t="inlineStr">
        <is>
          <t>Contingency Reserve</t>
        </is>
      </c>
      <c r="B14" s="14" t="n">
        <v>500</v>
      </c>
      <c r="C14" s="14" t="n">
        <v>500</v>
      </c>
      <c r="D14" s="14" t="n">
        <v>500</v>
      </c>
      <c r="E14" s="14" t="n">
        <v>500</v>
      </c>
      <c r="F14" s="14" t="n">
        <v>500</v>
      </c>
      <c r="G14" s="14" t="n">
        <v>500</v>
      </c>
      <c r="H14" s="14" t="n">
        <v>500</v>
      </c>
      <c r="I14" s="14" t="n">
        <v>500</v>
      </c>
      <c r="J14" s="14" t="n">
        <v>500</v>
      </c>
      <c r="K14" s="14" t="n">
        <v>500</v>
      </c>
      <c r="L14" s="14" t="n">
        <v>500</v>
      </c>
      <c r="M14" s="14" t="n">
        <v>500</v>
      </c>
      <c r="N14" s="15">
        <f>SUM(B14:M14)</f>
        <v/>
      </c>
    </row>
    <row r="15">
      <c r="A15" s="9" t="inlineStr">
        <is>
          <t>MONTHLY TOTAL</t>
        </is>
      </c>
      <c r="B15" s="10">
        <f>SUM(B4:B14)</f>
        <v/>
      </c>
      <c r="C15" s="10">
        <f>SUM(C4:C14)</f>
        <v/>
      </c>
      <c r="D15" s="10">
        <f>SUM(D4:D14)</f>
        <v/>
      </c>
      <c r="E15" s="10">
        <f>SUM(E4:E14)</f>
        <v/>
      </c>
      <c r="F15" s="10">
        <f>SUM(F4:F14)</f>
        <v/>
      </c>
      <c r="G15" s="10">
        <f>SUM(G4:G14)</f>
        <v/>
      </c>
      <c r="H15" s="10">
        <f>SUM(H4:H14)</f>
        <v/>
      </c>
      <c r="I15" s="10">
        <f>SUM(I4:I14)</f>
        <v/>
      </c>
      <c r="J15" s="10">
        <f>SUM(J4:J14)</f>
        <v/>
      </c>
      <c r="K15" s="10">
        <f>SUM(K4:K14)</f>
        <v/>
      </c>
      <c r="L15" s="10">
        <f>SUM(L4:L14)</f>
        <v/>
      </c>
      <c r="M15" s="10">
        <f>SUM(M4:M14)</f>
        <v/>
      </c>
      <c r="N15" s="10">
        <f>SUM(B15:M15)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>
        <is>
          <t>Cash Flow Forecast (Target Scenario)</t>
        </is>
      </c>
    </row>
    <row r="2">
      <c r="A2" s="2" t="inlineStr">
        <is>
          <t>Links to Revenue by Month and Expenses by Month sheets</t>
        </is>
      </c>
    </row>
    <row r="4">
      <c r="A4" s="3" t="inlineStr">
        <is>
          <t>Revenue Stream</t>
        </is>
      </c>
      <c r="B4" s="3" t="inlineStr">
        <is>
          <t>Apr-26</t>
        </is>
      </c>
      <c r="C4" s="3" t="inlineStr">
        <is>
          <t>May-26</t>
        </is>
      </c>
      <c r="D4" s="3" t="inlineStr">
        <is>
          <t>Jun-26</t>
        </is>
      </c>
      <c r="E4" s="3" t="inlineStr">
        <is>
          <t>Jul-26</t>
        </is>
      </c>
      <c r="F4" s="3" t="inlineStr">
        <is>
          <t>Aug-26</t>
        </is>
      </c>
      <c r="G4" s="3" t="inlineStr">
        <is>
          <t>Sep-26</t>
        </is>
      </c>
      <c r="H4" s="3" t="inlineStr">
        <is>
          <t>Oct-26</t>
        </is>
      </c>
      <c r="I4" s="3" t="inlineStr">
        <is>
          <t>Nov-26</t>
        </is>
      </c>
      <c r="J4" s="3" t="inlineStr">
        <is>
          <t>Dec-26</t>
        </is>
      </c>
      <c r="K4" s="3" t="inlineStr">
        <is>
          <t>Jan-27</t>
        </is>
      </c>
      <c r="L4" s="3" t="inlineStr">
        <is>
          <t>Feb-27</t>
        </is>
      </c>
      <c r="M4" s="3" t="inlineStr">
        <is>
          <t>Mar-27</t>
        </is>
      </c>
      <c r="N4" s="3" t="inlineStr">
        <is>
          <t>Total</t>
        </is>
      </c>
    </row>
    <row r="5">
      <c r="A5" s="17" t="inlineStr">
        <is>
          <t>Opening Cash Balance (assumption)</t>
        </is>
      </c>
      <c r="B5" s="16" t="n">
        <v>5000</v>
      </c>
      <c r="C5" s="7">
        <f>B9</f>
        <v/>
      </c>
      <c r="D5" s="7">
        <f>C9</f>
        <v/>
      </c>
      <c r="E5" s="7">
        <f>D9</f>
        <v/>
      </c>
      <c r="F5" s="7">
        <f>E9</f>
        <v/>
      </c>
      <c r="G5" s="7">
        <f>F9</f>
        <v/>
      </c>
      <c r="H5" s="7">
        <f>G9</f>
        <v/>
      </c>
      <c r="I5" s="7">
        <f>H9</f>
        <v/>
      </c>
      <c r="J5" s="7">
        <f>I9</f>
        <v/>
      </c>
      <c r="K5" s="7">
        <f>J9</f>
        <v/>
      </c>
      <c r="L5" s="7">
        <f>K9</f>
        <v/>
      </c>
      <c r="M5" s="7">
        <f>L9</f>
        <v/>
      </c>
      <c r="N5" s="7">
        <f>B5</f>
        <v/>
      </c>
    </row>
    <row r="6">
      <c r="A6" s="6" t="inlineStr">
        <is>
          <t>+ Revenue</t>
        </is>
      </c>
      <c r="B6" s="7">
        <f>'Revenue by Month'!B11</f>
        <v/>
      </c>
      <c r="C6" s="7">
        <f>'Revenue by Month'!C11</f>
        <v/>
      </c>
      <c r="D6" s="7">
        <f>'Revenue by Month'!D11</f>
        <v/>
      </c>
      <c r="E6" s="7">
        <f>'Revenue by Month'!E11</f>
        <v/>
      </c>
      <c r="F6" s="7">
        <f>'Revenue by Month'!F11</f>
        <v/>
      </c>
      <c r="G6" s="7">
        <f>'Revenue by Month'!G11</f>
        <v/>
      </c>
      <c r="H6" s="7">
        <f>'Revenue by Month'!H11</f>
        <v/>
      </c>
      <c r="I6" s="7">
        <f>'Revenue by Month'!I11</f>
        <v/>
      </c>
      <c r="J6" s="7">
        <f>'Revenue by Month'!J11</f>
        <v/>
      </c>
      <c r="K6" s="7">
        <f>'Revenue by Month'!K11</f>
        <v/>
      </c>
      <c r="L6" s="7">
        <f>'Revenue by Month'!L11</f>
        <v/>
      </c>
      <c r="M6" s="7">
        <f>'Revenue by Month'!M11</f>
        <v/>
      </c>
      <c r="N6" s="16">
        <f>SUM(B6:M6)</f>
        <v/>
      </c>
    </row>
    <row r="7">
      <c r="A7" s="6" t="inlineStr">
        <is>
          <t>- Expenses</t>
        </is>
      </c>
      <c r="B7" s="7">
        <f>'Expenses by Month'!B15</f>
        <v/>
      </c>
      <c r="C7" s="7">
        <f>'Expenses by Month'!C15</f>
        <v/>
      </c>
      <c r="D7" s="7">
        <f>'Expenses by Month'!D15</f>
        <v/>
      </c>
      <c r="E7" s="7">
        <f>'Expenses by Month'!E15</f>
        <v/>
      </c>
      <c r="F7" s="7">
        <f>'Expenses by Month'!F15</f>
        <v/>
      </c>
      <c r="G7" s="7">
        <f>'Expenses by Month'!G15</f>
        <v/>
      </c>
      <c r="H7" s="7">
        <f>'Expenses by Month'!H15</f>
        <v/>
      </c>
      <c r="I7" s="7">
        <f>'Expenses by Month'!I15</f>
        <v/>
      </c>
      <c r="J7" s="7">
        <f>'Expenses by Month'!J15</f>
        <v/>
      </c>
      <c r="K7" s="7">
        <f>'Expenses by Month'!K15</f>
        <v/>
      </c>
      <c r="L7" s="7">
        <f>'Expenses by Month'!L15</f>
        <v/>
      </c>
      <c r="M7" s="7">
        <f>'Expenses by Month'!M15</f>
        <v/>
      </c>
      <c r="N7" s="16">
        <f>SUM(B7:M7)</f>
        <v/>
      </c>
    </row>
    <row r="8">
      <c r="A8" s="17" t="inlineStr">
        <is>
          <t>Net Monthly Change</t>
        </is>
      </c>
      <c r="B8" s="16">
        <f>B6-B7</f>
        <v/>
      </c>
      <c r="C8" s="16">
        <f>C6-C7</f>
        <v/>
      </c>
      <c r="D8" s="16">
        <f>D6-D7</f>
        <v/>
      </c>
      <c r="E8" s="16">
        <f>E6-E7</f>
        <v/>
      </c>
      <c r="F8" s="16">
        <f>F6-F7</f>
        <v/>
      </c>
      <c r="G8" s="16">
        <f>G6-G7</f>
        <v/>
      </c>
      <c r="H8" s="16">
        <f>H6-H7</f>
        <v/>
      </c>
      <c r="I8" s="16">
        <f>I6-I7</f>
        <v/>
      </c>
      <c r="J8" s="16">
        <f>J6-J7</f>
        <v/>
      </c>
      <c r="K8" s="16">
        <f>K6-K7</f>
        <v/>
      </c>
      <c r="L8" s="16">
        <f>L6-L7</f>
        <v/>
      </c>
      <c r="M8" s="16">
        <f>M6-M7</f>
        <v/>
      </c>
      <c r="N8" s="16">
        <f>SUM(B8:M8)</f>
        <v/>
      </c>
    </row>
    <row r="9">
      <c r="A9" s="9" t="inlineStr">
        <is>
          <t>Ending Cash Balance</t>
        </is>
      </c>
      <c r="B9" s="10">
        <f>B5+B8</f>
        <v/>
      </c>
      <c r="C9" s="10">
        <f>C5+C8</f>
        <v/>
      </c>
      <c r="D9" s="10">
        <f>D5+D8</f>
        <v/>
      </c>
      <c r="E9" s="10">
        <f>E5+E8</f>
        <v/>
      </c>
      <c r="F9" s="10">
        <f>F5+F8</f>
        <v/>
      </c>
      <c r="G9" s="10">
        <f>G5+G8</f>
        <v/>
      </c>
      <c r="H9" s="10">
        <f>H5+H8</f>
        <v/>
      </c>
      <c r="I9" s="10">
        <f>I5+I8</f>
        <v/>
      </c>
      <c r="J9" s="10">
        <f>J5+J8</f>
        <v/>
      </c>
      <c r="K9" s="10">
        <f>K5+K8</f>
        <v/>
      </c>
      <c r="L9" s="10">
        <f>L5+L8</f>
        <v/>
      </c>
      <c r="M9" s="10">
        <f>M5+M8</f>
        <v/>
      </c>
      <c r="N9" s="10">
        <f>N5+N8</f>
        <v/>
      </c>
    </row>
    <row r="12">
      <c r="A12" s="18" t="inlineStr">
        <is>
          <t>Cash flow is a forecast. Update monthly with actuals. Red ending balance = cash gap to manage via timing or line of credit.</t>
        </is>
      </c>
    </row>
  </sheetData>
  <mergeCells count="3">
    <mergeCell ref="A12:N12"/>
    <mergeCell ref="A2:N2"/>
    <mergeCell ref="A1:N1"/>
  </mergeCells>
  <conditionalFormatting sqref="B9:M9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24" customWidth="1" min="5" max="5"/>
  </cols>
  <sheetData>
    <row r="1">
      <c r="A1" s="1" t="inlineStr">
        <is>
          <t>Year One KPI Scorecard</t>
        </is>
      </c>
    </row>
    <row r="2">
      <c r="A2" s="2" t="inlineStr">
        <is>
          <t>Update monthly. Compare Actual to Target. Color-code trend.</t>
        </is>
      </c>
    </row>
    <row r="4">
      <c r="A4" s="3" t="inlineStr">
        <is>
          <t>KPI</t>
        </is>
      </c>
      <c r="B4" s="3" t="inlineStr">
        <is>
          <t>Year 1 Target</t>
        </is>
      </c>
      <c r="C4" s="3" t="inlineStr">
        <is>
          <t>Current Actual</t>
        </is>
      </c>
      <c r="D4" s="3" t="inlineStr">
        <is>
          <t>Gap</t>
        </is>
      </c>
      <c r="E4" s="3" t="inlineStr">
        <is>
          <t>Owner</t>
        </is>
      </c>
    </row>
    <row r="5">
      <c r="A5" s="6" t="inlineStr">
        <is>
          <t>Total Raised (USD)</t>
        </is>
      </c>
      <c r="B5" s="19" t="n">
        <v>180000</v>
      </c>
      <c r="C5" s="19" t="n">
        <v>0</v>
      </c>
      <c r="D5" s="19">
        <f>C5-B5</f>
        <v/>
      </c>
      <c r="E5" s="6" t="inlineStr">
        <is>
          <t>Development</t>
        </is>
      </c>
    </row>
    <row r="6">
      <c r="A6" s="13" t="inlineStr">
        <is>
          <t>Monthly Recurring Donors (count)</t>
        </is>
      </c>
      <c r="B6" s="20" t="n">
        <v>150</v>
      </c>
      <c r="C6" s="20" t="n">
        <v>0</v>
      </c>
      <c r="D6" s="20">
        <f>C6-B6</f>
        <v/>
      </c>
      <c r="E6" s="13" t="inlineStr">
        <is>
          <t>Development</t>
        </is>
      </c>
    </row>
    <row r="7">
      <c r="A7" s="6" t="inlineStr">
        <is>
          <t>Gala Attendees</t>
        </is>
      </c>
      <c r="B7" s="19" t="n">
        <v>200</v>
      </c>
      <c r="C7" s="19" t="n">
        <v>0</v>
      </c>
      <c r="D7" s="19">
        <f>C7-B7</f>
        <v/>
      </c>
      <c r="E7" s="6" t="inlineStr">
        <is>
          <t>Development</t>
        </is>
      </c>
    </row>
    <row r="8">
      <c r="A8" s="13" t="inlineStr">
        <is>
          <t>Sponsor Dollars Committed</t>
        </is>
      </c>
      <c r="B8" s="20" t="n">
        <v>50000</v>
      </c>
      <c r="C8" s="20" t="n">
        <v>0</v>
      </c>
      <c r="D8" s="20">
        <f>C8-B8</f>
        <v/>
      </c>
      <c r="E8" s="13" t="inlineStr">
        <is>
          <t>Development</t>
        </is>
      </c>
    </row>
    <row r="9">
      <c r="A9" s="6" t="inlineStr">
        <is>
          <t>Cohort Participants (total across cohorts)</t>
        </is>
      </c>
      <c r="B9" s="19" t="n">
        <v>75</v>
      </c>
      <c r="C9" s="19" t="n">
        <v>0</v>
      </c>
      <c r="D9" s="19">
        <f>C9-B9</f>
        <v/>
      </c>
      <c r="E9" s="6" t="inlineStr">
        <is>
          <t>Programs</t>
        </is>
      </c>
    </row>
    <row r="10">
      <c r="A10" s="13" t="inlineStr">
        <is>
          <t>Cohort Completion Rate (%)</t>
        </is>
      </c>
      <c r="B10" s="20" t="n">
        <v>85</v>
      </c>
      <c r="C10" s="20" t="n">
        <v>0</v>
      </c>
      <c r="D10" s="20">
        <f>C10-B10</f>
        <v/>
      </c>
      <c r="E10" s="13" t="inlineStr">
        <is>
          <t>Programs</t>
        </is>
      </c>
    </row>
    <row r="11">
      <c r="A11" s="6" t="inlineStr">
        <is>
          <t>Leaders Deployed to Ecuador</t>
        </is>
      </c>
      <c r="B11" s="19" t="n">
        <v>8</v>
      </c>
      <c r="C11" s="19" t="n">
        <v>0</v>
      </c>
      <c r="D11" s="19">
        <f>C11-B11</f>
        <v/>
      </c>
      <c r="E11" s="6" t="inlineStr">
        <is>
          <t>Missions</t>
        </is>
      </c>
    </row>
    <row r="12">
      <c r="A12" s="13" t="inlineStr">
        <is>
          <t>Partner Churches (Program Partner+)</t>
        </is>
      </c>
      <c r="B12" s="20" t="n">
        <v>5</v>
      </c>
      <c r="C12" s="20" t="n">
        <v>0</v>
      </c>
      <c r="D12" s="20">
        <f>C12-B12</f>
        <v/>
      </c>
      <c r="E12" s="13" t="inlineStr">
        <is>
          <t>Founder</t>
        </is>
      </c>
    </row>
    <row r="13">
      <c r="A13" s="6" t="inlineStr">
        <is>
          <t>Email List Size</t>
        </is>
      </c>
      <c r="B13" s="19" t="n">
        <v>1500</v>
      </c>
      <c r="C13" s="19" t="n">
        <v>0</v>
      </c>
      <c r="D13" s="19">
        <f>C13-B13</f>
        <v/>
      </c>
      <c r="E13" s="6" t="inlineStr">
        <is>
          <t>Marketing</t>
        </is>
      </c>
    </row>
    <row r="14">
      <c r="A14" s="13" t="inlineStr">
        <is>
          <t>Donor Retention Rate (%)</t>
        </is>
      </c>
      <c r="B14" s="20" t="n">
        <v>80</v>
      </c>
      <c r="C14" s="20" t="n">
        <v>0</v>
      </c>
      <c r="D14" s="20">
        <f>C14-B14</f>
        <v/>
      </c>
      <c r="E14" s="13" t="inlineStr">
        <is>
          <t>Development</t>
        </is>
      </c>
    </row>
    <row r="15">
      <c r="A15" s="6" t="inlineStr">
        <is>
          <t>Time-to-Thank (hours, average)</t>
        </is>
      </c>
      <c r="B15" s="19" t="n">
        <v>48</v>
      </c>
      <c r="C15" s="19" t="n">
        <v>0</v>
      </c>
      <c r="D15" s="19">
        <f>C15-B15</f>
        <v/>
      </c>
      <c r="E15" s="6" t="inlineStr">
        <is>
          <t>Development</t>
        </is>
      </c>
    </row>
    <row r="16">
      <c r="A16" s="13" t="inlineStr">
        <is>
          <t>Cash Runway (months)</t>
        </is>
      </c>
      <c r="B16" s="20" t="n">
        <v>6</v>
      </c>
      <c r="C16" s="20" t="n">
        <v>0</v>
      </c>
      <c r="D16" s="20">
        <f>C16-B16</f>
        <v/>
      </c>
      <c r="E16" s="13" t="inlineStr">
        <is>
          <t>Operations</t>
        </is>
      </c>
    </row>
    <row r="19">
      <c r="A19" s="21" t="inlineStr">
        <is>
          <t>How to use: update 'Current Actual' monthly. Gap shows distance to target. Discuss negative gaps at monthly finance review.</t>
        </is>
      </c>
    </row>
  </sheetData>
  <mergeCells count="3">
    <mergeCell ref="A2:E2"/>
    <mergeCell ref="A1:E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2026-04-24T05:30:17Z</dcterms:created>
  <dcterms:modified xmlns:dcterms="http://purl.org/dc/terms/" xmlns:xsi="http://www.w3.org/2001/XMLSchema-instance" xsi:type="dcterms:W3CDTF">2026-04-24T05:30:17Z</dcterms:modified>
</cp:coreProperties>
</file>